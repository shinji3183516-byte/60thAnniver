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e26ed4be9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外注制作費概算" sheetId="1" r:id="R95e88d8d7dcf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¥#,##0"/>
    <x:numFmt numFmtId="201" formatCode="0&quot;時間&quot;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200" fontId="2" fillId="4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f41657c884403" /><Relationship Type="http://schemas.openxmlformats.org/officeDocument/2006/relationships/theme" Target="/xl/theme/theme1.xml" Id="R0e985ef4e38d4bd1" /><Relationship Type="http://schemas.openxmlformats.org/officeDocument/2006/relationships/sharedStrings" Target="/xl/sharedStrings.xml" Id="Rb46f7e4918d84772" /><Relationship Type="http://schemas.openxmlformats.org/officeDocument/2006/relationships/worksheet" Target="/xl/worksheets/sheet1.xml" Id="R95e88d8d7dcf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13" hidden="0" customWidth="1"/>
    <x:col min="4" max="4" width="15" hidden="0" customWidth="1"/>
    <x:col min="5" max="5" width="17" hidden="0" customWidth="1"/>
    <x:col min="6" max="6" width="30" hidden="0" customWidth="1"/>
    <x:col min="7" max="7" width="2" hidden="0" customWidth="1"/>
    <x:col min="8" max="8" width="2" hidden="0" customWidth="1"/>
  </x:cols>
  <x:sheetData>
    <x:row r="1" ht="34" customHeight="1">
      <x:c r="A1" s="5" t="str">
        <x:v>高岡工場60周年年表　外注制作費概算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見積区分</x:v>
      </x:c>
      <x:c r="B3" s="12" t="str">
        <x:v>概算金額（税別）</x:v>
      </x:c>
      <x:c r="C3" s="12" t="str">
        <x:v>想定発注先</x:v>
      </x:c>
      <x:c r="D3" s="12" t="str">
        <x:v>考え方</x:v>
      </x:c>
    </x:row>
    <x:row r="4" ht="30" customHeight="1">
      <x:c r="A4" s="18" t="str">
        <x:v>低価格帯</x:v>
      </x:c>
      <x:c r="B4" s="21" t="n">
        <x:v>3300000</x:v>
      </x:c>
      <x:c r="C4" s="18" t="str">
        <x:v>小規模制作会社・少人数体制</x:v>
      </x:c>
      <x:c r="D4" s="18" t="str">
        <x:v>既存構成を活用し、修正回数と管理工数を限定</x:v>
      </x:c>
    </x:row>
    <x:row r="5" ht="30" customHeight="1">
      <x:c r="A5" s="25" t="str">
        <x:v>平均的な想定</x:v>
      </x:c>
      <x:c r="B5" s="26" t="n">
        <x:f>E21</x:f>
        <x:v>4660500</x:v>
      </x:c>
      <x:c r="C5" s="25" t="str">
        <x:v>中小～中堅のWeb制作会社</x:v>
      </x:c>
      <x:c r="D5" s="25" t="str">
        <x:v>企画・デザイン・実装・画像編集・テスト・納品まで含む</x:v>
      </x:c>
    </x:row>
    <x:row r="6" ht="30" customHeight="1">
      <x:c r="A6" s="18" t="str">
        <x:v>高品質・手厚い体制</x:v>
      </x:c>
      <x:c r="B6" s="21" t="n">
        <x:v>6500000</x:v>
      </x:c>
      <x:c r="C6" s="18" t="str">
        <x:v>中堅～大手制作会社</x:v>
      </x:c>
      <x:c r="D6" s="18" t="str">
        <x:v>ディレクション、品質保証、複数回修正、実機確認を手厚く実施</x:v>
      </x:c>
    </x:row>
    <x:row r="9">
      <x:c r="A9" s="33" t="str">
        <x:v>大項目</x:v>
      </x:c>
      <x:c r="B9" s="33" t="str">
        <x:v>作業内容</x:v>
      </x:c>
      <x:c r="C9" s="33" t="str">
        <x:v>想定工数</x:v>
      </x:c>
      <x:c r="D9" s="33" t="str">
        <x:v>時間単価</x:v>
      </x:c>
      <x:c r="E9" s="33" t="str">
        <x:v>概算金額</x:v>
      </x:c>
      <x:c r="F9" s="33" t="str">
        <x:v>備考</x:v>
      </x:c>
    </x:row>
    <x:row r="10" ht="27" customHeight="1">
      <x:c r="A10" s="18" t="str">
        <x:v>企画・要件整理</x:v>
      </x:c>
      <x:c r="B10" s="18" t="str">
        <x:v>関係者ヒアリング、構成整理、仕様決定</x:v>
      </x:c>
      <x:c r="C10" s="37" t="n">
        <x:v>32</x:v>
      </x:c>
      <x:c r="D10" s="21" t="n">
        <x:v>12000</x:v>
      </x:c>
      <x:c r="E10" s="21" t="n">
        <x:f>C10*D10</x:f>
        <x:v>384000</x:v>
      </x:c>
      <x:c r="F10" s="18" t="str">
        <x:v>ディレクター・設計担当</x:v>
      </x:c>
    </x:row>
    <x:row r="11" ht="27" customHeight="1">
      <x:c r="A11" s="18" t="str">
        <x:v>UI・デザイン</x:v>
      </x:c>
      <x:c r="B11" s="18" t="str">
        <x:v>大型モニター向けレイアウト、配色、視線設計</x:v>
      </x:c>
      <x:c r="C11" s="37" t="n">
        <x:v>42</x:v>
      </x:c>
      <x:c r="D11" s="21" t="n">
        <x:v>11000</x:v>
      </x:c>
      <x:c r="E11" s="21" t="n">
        <x:f>C11*D11</x:f>
        <x:v>462000</x:v>
      </x:c>
      <x:c r="F11" s="18" t="str">
        <x:v>Webデザイナー</x:v>
      </x:c>
    </x:row>
    <x:row r="12" ht="27" customHeight="1">
      <x:c r="A12" s="18" t="str">
        <x:v>HTML・CSS実装</x:v>
      </x:c>
      <x:c r="B12" s="18" t="str">
        <x:v>画面構築、レスポンシブ、表示調整</x:v>
      </x:c>
      <x:c r="C12" s="37" t="n">
        <x:v>55</x:v>
      </x:c>
      <x:c r="D12" s="21" t="n">
        <x:v>9500</x:v>
      </x:c>
      <x:c r="E12" s="21" t="n">
        <x:f>C12*D12</x:f>
        <x:v>522500</x:v>
      </x:c>
      <x:c r="F12" s="18" t="str">
        <x:v>フロントエンド担当</x:v>
      </x:c>
    </x:row>
    <x:row r="13" ht="27" customHeight="1">
      <x:c r="A13" s="18" t="str">
        <x:v>JavaScript開発</x:v>
      </x:c>
      <x:c r="B13" s="18" t="str">
        <x:v>年表移動、停止、速度変更、ループ制御</x:v>
      </x:c>
      <x:c r="C13" s="37" t="n">
        <x:v>74</x:v>
      </x:c>
      <x:c r="D13" s="21" t="n">
        <x:v>11500</x:v>
      </x:c>
      <x:c r="E13" s="21" t="n">
        <x:f>C13*D13</x:f>
        <x:v>851000</x:v>
      </x:c>
      <x:c r="F13" s="18" t="str">
        <x:v>カスタム開発</x:v>
      </x:c>
    </x:row>
    <x:row r="14" ht="27" customHeight="1">
      <x:c r="A14" s="18" t="str">
        <x:v>車両アニメーション</x:v>
      </x:c>
      <x:c r="B14" s="18" t="str">
        <x:v>年代別走行、RUN-CAR、接地・縮尺調整</x:v>
      </x:c>
      <x:c r="C14" s="37" t="n">
        <x:v>62</x:v>
      </x:c>
      <x:c r="D14" s="21" t="n">
        <x:v>11500</x:v>
      </x:c>
      <x:c r="E14" s="21" t="n">
        <x:f>C14*D14</x:f>
        <x:v>713000</x:v>
      </x:c>
      <x:c r="F14" s="18" t="str">
        <x:v>独自演出・微調整を含む</x:v>
      </x:c>
    </x:row>
    <x:row r="15" ht="27" customHeight="1">
      <x:c r="A15" s="18" t="str">
        <x:v>画像・素材編集</x:v>
      </x:c>
      <x:c r="B15" s="18" t="str">
        <x:v>透過、トリミング、補正、サイズ統一</x:v>
      </x:c>
      <x:c r="C15" s="37" t="n">
        <x:v>62</x:v>
      </x:c>
      <x:c r="D15" s="21" t="n">
        <x:v>8000</x:v>
      </x:c>
      <x:c r="E15" s="21" t="n">
        <x:f>C15*D15</x:f>
        <x:v>496000</x:v>
      </x:c>
      <x:c r="F15" s="18" t="str">
        <x:v>提供素材の品質で変動</x:v>
      </x:c>
    </x:row>
    <x:row r="16" ht="27" customHeight="1">
      <x:c r="A16" s="18" t="str">
        <x:v>写真・原稿登録</x:v>
      </x:c>
      <x:c r="B16" s="18" t="str">
        <x:v>年代別データ登録、差し替え、確認</x:v>
      </x:c>
      <x:c r="C16" s="37" t="n">
        <x:v>32</x:v>
      </x:c>
      <x:c r="D16" s="21" t="n">
        <x:v>7500</x:v>
      </x:c>
      <x:c r="E16" s="21" t="n">
        <x:f>C16*D16</x:f>
        <x:v>240000</x:v>
      </x:c>
      <x:c r="F16" s="18" t="str">
        <x:v>最終編集を含む</x:v>
      </x:c>
    </x:row>
    <x:row r="17" ht="27" customHeight="1">
      <x:c r="A17" s="18" t="str">
        <x:v>テスト・実機確認</x:v>
      </x:c>
      <x:c r="B17" s="18" t="str">
        <x:v>大型モニター、長時間再生、ブラウザ確認</x:v>
      </x:c>
      <x:c r="C17" s="37" t="n">
        <x:v>24</x:v>
      </x:c>
      <x:c r="D17" s="21" t="n">
        <x:v>10000</x:v>
      </x:c>
      <x:c r="E17" s="21" t="n">
        <x:f>C17*D17</x:f>
        <x:v>240000</x:v>
      </x:c>
      <x:c r="F17" s="18" t="str">
        <x:v>不具合修正を含む</x:v>
      </x:c>
    </x:row>
    <x:row r="18" ht="27" customHeight="1">
      <x:c r="A18" s="18" t="str">
        <x:v>リファクタリング・納品</x:v>
      </x:c>
      <x:c r="B18" s="18" t="str">
        <x:v>コード整理、説明書、バックアップ作成</x:v>
      </x:c>
      <x:c r="C18" s="37" t="n">
        <x:v>24</x:v>
      </x:c>
      <x:c r="D18" s="21" t="n">
        <x:v>10500</x:v>
      </x:c>
      <x:c r="E18" s="21" t="n">
        <x:f>C18*D18</x:f>
        <x:v>252000</x:v>
      </x:c>
      <x:c r="F18" s="18" t="str">
        <x:v>ソース一式納品</x:v>
      </x:c>
    </x:row>
    <x:row r="19" ht="28" customHeight="1">
      <x:c r="A19" s="40" t="str">
        <x:v>制作作業費 小計</x:v>
      </x:c>
      <x:c r="B19" s="40"/>
      <x:c r="C19" s="40"/>
      <x:c r="D19" s="40"/>
      <x:c r="E19" s="45" t="n">
        <x:f>SUM(E10:E18)</x:f>
        <x:v>4160500</x:v>
      </x:c>
      <x:c r="F19" s="40" t="str">
        <x:v>総工数407時間</x:v>
      </x:c>
    </x:row>
    <x:row r="20" ht="28" customHeight="1">
      <x:c r="A20" s="40" t="str">
        <x:v>進行管理・仕様変更リスク・検収対応（12%）</x:v>
      </x:c>
      <x:c r="B20" s="40"/>
      <x:c r="C20" s="40"/>
      <x:c r="D20" s="40"/>
      <x:c r="E20" s="45" t="n">
        <x:f>ROUND(E19*12%,-4)</x:f>
        <x:v>500000</x:v>
      </x:c>
      <x:c r="F20" s="40" t="str">
        <x:v>打合せ、修正調整、品質管理</x:v>
      </x:c>
    </x:row>
    <x:row r="21" ht="28" customHeight="1">
      <x:c r="A21" s="43" t="str">
        <x:v>外注費概算 合計（税別）</x:v>
      </x:c>
      <x:c r="B21" s="43"/>
      <x:c r="C21" s="43"/>
      <x:c r="D21" s="43"/>
      <x:c r="E21" s="46" t="n">
        <x:f>E19+E20</x:f>
        <x:v>4660500</x:v>
      </x:c>
      <x:c r="F21" s="43" t="str">
        <x:v>平均的な制作会社を想定</x:v>
      </x:c>
    </x:row>
    <x:row r="24">
      <x:c r="A24" s="12" t="str">
        <x:v>追加項目</x:v>
      </x:c>
      <x:c r="B24" s="12" t="str">
        <x:v>概算追加費用</x:v>
      </x:c>
      <x:c r="C24" s="12" t="str">
        <x:v>条件</x:v>
      </x:c>
      <x:c r="D24" s="12" t="str">
        <x:v>備考</x:v>
      </x:c>
    </x:row>
    <x:row r="25" ht="28" customHeight="1">
      <x:c r="A25" s="18" t="str">
        <x:v>録画・エンドレス動画化</x:v>
      </x:c>
      <x:c r="B25" s="18" t="str">
        <x:v>20万～60万円</x:v>
      </x:c>
      <x:c r="C25" s="18" t="str">
        <x:v>Web版完成後</x:v>
      </x:c>
      <x:c r="D25" s="18" t="str">
        <x:v>録画、編集、ループ調整、書き出し</x:v>
      </x:c>
    </x:row>
    <x:row r="26" ht="28" customHeight="1">
      <x:c r="A26" s="18" t="str">
        <x:v>納品後の保守・更新</x:v>
      </x:c>
      <x:c r="B26" s="18" t="str">
        <x:v>月3万～10万円</x:v>
      </x:c>
      <x:c r="C26" s="18" t="str">
        <x:v>契約内容による</x:v>
      </x:c>
      <x:c r="D26" s="18" t="str">
        <x:v>文章・写真更新、軽微な修正</x:v>
      </x:c>
    </x:row>
    <x:row r="27" ht="28" customHeight="1">
      <x:c r="A27" s="18" t="str">
        <x:v>大幅な構成変更</x:v>
      </x:c>
      <x:c r="B27" s="18" t="str">
        <x:v>別途見積り</x:v>
      </x:c>
      <x:c r="C27" s="18" t="str">
        <x:v>土台確定後</x:v>
      </x:c>
      <x:c r="D27" s="18" t="str">
        <x:v>画面構成や動作の作り直し</x:v>
      </x:c>
    </x:row>
    <x:row r="28" ht="28" customHeight="1">
      <x:c r="A28" s="18" t="str">
        <x:v>新規撮影・取材・原稿作成</x:v>
      </x:c>
      <x:c r="B28" s="18" t="str">
        <x:v>別途見積り</x:v>
      </x:c>
      <x:c r="C28" s="18" t="str">
        <x:v>素材提供がない場合</x:v>
      </x:c>
      <x:c r="D28" s="18" t="str">
        <x:v>今回の概算には含めない</x:v>
      </x:c>
    </x:row>
    <x:row r="31">
      <x:c r="A31" s="32" t="str">
        <x:v>概算結論</x:v>
      </x:c>
      <x:c r="B31" s="32"/>
      <x:c r="C31" s="32"/>
      <x:c r="D31" s="32"/>
      <x:c r="E31" s="32"/>
      <x:c r="F31" s="32"/>
    </x:row>
    <x:row r="32">
      <x:c r="A32" s="51" t="str">
        <x:v>同等の年表コンテンツを、企画・デザイン・プログラム開発・画像編集・修正対応・大型モニター確認・リファクタリング・最終納品まで外注する場合、平均的には税別約470万円前後、一般的な幅として約330万～650万円程度が目安です。素材不足や大幅な仕様変更が続く場合は、700万円を超える可能性があります。</x:v>
      </x:c>
      <x:c r="B32" s="51"/>
      <x:c r="C32" s="51"/>
      <x:c r="D32" s="51"/>
      <x:c r="E32" s="51"/>
      <x:c r="F32" s="51"/>
    </x:row>
    <x:row r="33">
      <x:c r="A33" s="51"/>
      <x:c r="B33" s="51"/>
      <x:c r="C33" s="51"/>
      <x:c r="D33" s="51"/>
      <x:c r="E33" s="51"/>
      <x:c r="F33" s="51"/>
    </x:row>
    <x:row r="34">
      <x:c r="A34" s="51"/>
      <x:c r="B34" s="51"/>
      <x:c r="C34" s="51"/>
      <x:c r="D34" s="51"/>
      <x:c r="E34" s="51"/>
      <x:c r="F34" s="51"/>
    </x:row>
    <x:row r="36">
      <x:c r="A36" s="11" t="str">
        <x:v>参考資料（価格は案件条件で変動するため、概算計算の参考値）</x:v>
      </x:c>
      <x:c r="B36" s="11"/>
      <x:c r="C36" s="11"/>
      <x:c r="D36" s="11"/>
      <x:c r="E36" s="11"/>
      <x:c r="F36" s="11"/>
    </x:row>
    <x:row r="37">
      <x:c r="A37" s="18" t="str">
        <x:v>システム開発の月額単価80万～120万円がボリュームゾーン</x:v>
      </x:c>
      <x:c r="B37" s="18" t="str">
        <x:v>https://www.pasona.co.jp/clients/service/xtech/column/column163/</x:v>
      </x:c>
      <x:c r="C37" s="18"/>
      <x:c r="D37" s="18"/>
      <x:c r="E37" s="18"/>
      <x:c r="F37" s="18"/>
    </x:row>
    <x:row r="38">
      <x:c r="A38" s="18" t="str">
        <x:v>受託開発の小規模案件における平均人月単価100万～180万円</x:v>
      </x:c>
      <x:c r="B38" s="18" t="str">
        <x:v>https://www.siainc.jp/topic/outsourced-development-cost-factors-2025</x:v>
      </x:c>
      <x:c r="C38" s="18"/>
      <x:c r="D38" s="18"/>
      <x:c r="E38" s="18"/>
      <x:c r="F38" s="18"/>
    </x:row>
    <x:row r="39">
      <x:c r="A39" s="18" t="str">
        <x:v>デジタルサイネージ動画制作20万～100万円の相場例</x:v>
      </x:c>
      <x:c r="B39" s="18" t="str">
        <x:v>https://cactas.co.jp/knowledge/commentary-on-digital-signage-video-production/</x:v>
      </x:c>
      <x:c r="C39" s="18"/>
      <x:c r="D39" s="18"/>
      <x:c r="E39" s="18"/>
      <x:c r="F39" s="18"/>
    </x:row>
  </x:sheetData>
  <x:mergeCells>
    <x:mergeCell ref="A1:H1"/>
    <x:mergeCell ref="A19:D19"/>
    <x:mergeCell ref="A20:D20"/>
    <x:mergeCell ref="A21:D21"/>
    <x:mergeCell ref="A31:F31"/>
    <x:mergeCell ref="A32:F34"/>
    <x:mergeCell ref="A36:F36"/>
    <x:mergeCell ref="B37:F37"/>
    <x:mergeCell ref="B38:F38"/>
    <x:mergeCell ref="B39:F39"/>
  </x:mergeCells>
  <x:pageMargins left="0.7" right="0.7" top="0.75" bottom="0.75" header="0.3" footer="0.3"/>
</x:worksheet>
</file>